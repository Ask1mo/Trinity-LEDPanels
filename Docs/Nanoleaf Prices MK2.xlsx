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Private\Trinity-LEDPanels\Docs\"/>
    </mc:Choice>
  </mc:AlternateContent>
  <xr:revisionPtr revIDLastSave="0" documentId="13_ncr:1_{69E069C3-51D5-4362-8A3F-03D2909042D6}" xr6:coauthVersionLast="47" xr6:coauthVersionMax="47" xr10:uidLastSave="{00000000-0000-0000-0000-000000000000}"/>
  <bookViews>
    <workbookView xWindow="105" yWindow="-105" windowWidth="28800" windowHeight="15585" xr2:uid="{FDF8ABBF-54E2-45BC-B2DC-50CC81E9E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7" i="1"/>
  <c r="E16" i="1"/>
  <c r="E15" i="1"/>
  <c r="E14" i="1"/>
  <c r="E18" i="1"/>
  <c r="E13" i="1"/>
  <c r="E12" i="1"/>
  <c r="E11" i="1"/>
  <c r="E10" i="1"/>
  <c r="E9" i="1"/>
  <c r="E8" i="1"/>
  <c r="E7" i="1"/>
  <c r="E6" i="1"/>
  <c r="E5" i="1"/>
  <c r="E4" i="1"/>
  <c r="E3" i="1"/>
  <c r="B33" i="1"/>
  <c r="D47" i="1"/>
  <c r="O38" i="1"/>
  <c r="S38" i="1"/>
  <c r="B49" i="1"/>
  <c r="D49" i="1" s="1"/>
  <c r="S39" i="1"/>
  <c r="S34" i="1"/>
  <c r="O39" i="1"/>
  <c r="B48" i="1"/>
  <c r="B47" i="1"/>
  <c r="D46" i="1"/>
  <c r="D48" i="1"/>
  <c r="B46" i="1"/>
  <c r="O34" i="1"/>
  <c r="B38" i="1"/>
  <c r="C38" i="1" s="1"/>
  <c r="D38" i="1" s="1"/>
  <c r="B39" i="1"/>
  <c r="C39" i="1" s="1"/>
  <c r="D39" i="1" s="1"/>
  <c r="D40" i="1"/>
  <c r="C40" i="1"/>
  <c r="B41" i="1"/>
  <c r="C41" i="1" s="1"/>
  <c r="D41" i="1" s="1"/>
  <c r="C37" i="1"/>
  <c r="D37" i="1" s="1"/>
  <c r="C36" i="1"/>
  <c r="D36" i="1" s="1"/>
  <c r="B45" i="1" l="1"/>
  <c r="D45" i="1" s="1"/>
  <c r="D50" i="1" s="1"/>
  <c r="D42" i="1"/>
  <c r="B31" i="1" l="1"/>
  <c r="B32" i="1" s="1"/>
</calcChain>
</file>

<file path=xl/sharedStrings.xml><?xml version="1.0" encoding="utf-8"?>
<sst xmlns="http://schemas.openxmlformats.org/spreadsheetml/2006/main" count="56" uniqueCount="40">
  <si>
    <t>Price List</t>
  </si>
  <si>
    <t xml:space="preserve"> </t>
  </si>
  <si>
    <t>Nanoleaf Price</t>
  </si>
  <si>
    <t>Controller</t>
  </si>
  <si>
    <t>Panels</t>
  </si>
  <si>
    <t>Recommended price</t>
  </si>
  <si>
    <t>ESP</t>
  </si>
  <si>
    <t>Linker</t>
  </si>
  <si>
    <t>3D-Prints</t>
  </si>
  <si>
    <t>Plastic</t>
  </si>
  <si>
    <t>Triangle</t>
  </si>
  <si>
    <t>Triangle cover</t>
  </si>
  <si>
    <t>Controller cover</t>
  </si>
  <si>
    <t>Electricals</t>
  </si>
  <si>
    <t>LED strip</t>
  </si>
  <si>
    <t>LED strip (17)</t>
  </si>
  <si>
    <t>Wiring</t>
  </si>
  <si>
    <t>Price</t>
  </si>
  <si>
    <t>Power Cord</t>
  </si>
  <si>
    <t>Power jack</t>
  </si>
  <si>
    <t>Result (Multiplied)</t>
  </si>
  <si>
    <t>Diffusers</t>
  </si>
  <si>
    <t>(ARDUINO/ESP)</t>
  </si>
  <si>
    <t>Linkers</t>
  </si>
  <si>
    <t>ARDUINO</t>
  </si>
  <si>
    <t>Incl Shipping</t>
  </si>
  <si>
    <t>Incl Energy</t>
  </si>
  <si>
    <t>https://nl.aliexpress.com/item/32682015405.html?spm=a2g0o.placeorder.0.0.455828c96ZmmtO&amp;mp=1&amp;gatewayAdapt=glo2nld</t>
  </si>
  <si>
    <t>Buyins</t>
  </si>
  <si>
    <t>Quantity</t>
  </si>
  <si>
    <t>Converted</t>
  </si>
  <si>
    <t>Power Jack</t>
  </si>
  <si>
    <t>Arduino</t>
  </si>
  <si>
    <t>(Per panel)</t>
  </si>
  <si>
    <t>Note:</t>
  </si>
  <si>
    <t>https://www.tinytronics.nl/shop/en/development-boards/microcontroller-boards/with-wi-fi/dfrobot-firebeetle-2-esp32-e-iot-microcontroller-wi-fi-and-bluetooth-seperate-headers</t>
  </si>
  <si>
    <t>https://www.amazon.nl/-/en/dp/B078S8BJ8T/ref=sr_1_10?crid=307EDQCWEG5PO&amp;keywords=nano&amp;qid=1655463811&amp;sprefix=nano%2Caps%2C71&amp;sr=8-10</t>
  </si>
  <si>
    <t>Materials cost</t>
  </si>
  <si>
    <t>Materials price</t>
  </si>
  <si>
    <t>Panel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</si>
</sst>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_-[$€-2]\ * #,##0.00_-;\-[$€-2]\ * #,##0.00_-;_-[$€-2]\ * &quot;-&quot;??_-;_-@_-"/>
    <numFmt numFmtId="165" formatCode="_-[$€-2]\ * #,##0_-;\-[$€-2]\ * #,##0_-;_-[$€-2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164" fontId="0" fillId="0" borderId="4" xfId="0" applyNumberFormat="1" applyBorder="1"/>
    <xf numFmtId="164" fontId="0" fillId="0" borderId="6" xfId="0" applyNumberFormat="1" applyBorder="1"/>
    <xf numFmtId="164" fontId="0" fillId="0" borderId="0" xfId="0" applyNumberFormat="1"/>
    <xf numFmtId="0" fontId="0" fillId="0" borderId="0" xfId="0" applyBorder="1"/>
    <xf numFmtId="164" fontId="0" fillId="0" borderId="8" xfId="0" applyNumberFormat="1" applyBorder="1"/>
    <xf numFmtId="164" fontId="0" fillId="0" borderId="0" xfId="2" applyNumberFormat="1" applyFont="1"/>
    <xf numFmtId="2" fontId="0" fillId="0" borderId="0" xfId="0" applyNumberFormat="1"/>
    <xf numFmtId="164" fontId="0" fillId="0" borderId="0" xfId="0" applyNumberFormat="1" applyBorder="1"/>
    <xf numFmtId="164" fontId="0" fillId="0" borderId="0" xfId="1" applyNumberFormat="1" applyFon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0" xfId="0" applyAlignment="1">
      <alignment horizontal="center"/>
    </xf>
    <xf numFmtId="164" fontId="0" fillId="0" borderId="0" xfId="2" applyNumberFormat="1" applyFont="1" applyAlignment="1">
      <alignment horizontal="center"/>
    </xf>
    <xf numFmtId="9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3" xfId="0" applyBorder="1"/>
    <xf numFmtId="0" fontId="0" fillId="0" borderId="0" xfId="0" applyAlignment="1">
      <alignment horizontal="left"/>
    </xf>
    <xf numFmtId="164" fontId="0" fillId="0" borderId="0" xfId="0" applyNumberFormat="1" applyFill="1" applyBorder="1"/>
    <xf numFmtId="0" fontId="2" fillId="0" borderId="0" xfId="3"/>
    <xf numFmtId="164" fontId="0" fillId="0" borderId="7" xfId="0" applyNumberFormat="1" applyBorder="1"/>
    <xf numFmtId="164" fontId="0" fillId="0" borderId="2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4" xfId="0" applyBorder="1"/>
    <xf numFmtId="0" fontId="0" fillId="0" borderId="20" xfId="0" applyBorder="1"/>
    <xf numFmtId="164" fontId="0" fillId="0" borderId="21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164" fontId="0" fillId="0" borderId="0" xfId="0" applyNumberFormat="1" applyFill="1"/>
    <xf numFmtId="0" fontId="0" fillId="0" borderId="22" xfId="0" applyBorder="1"/>
    <xf numFmtId="0" fontId="0" fillId="0" borderId="0" xfId="0" applyFill="1" applyBorder="1"/>
    <xf numFmtId="164" fontId="0" fillId="0" borderId="25" xfId="0" applyNumberFormat="1" applyBorder="1"/>
    <xf numFmtId="164" fontId="0" fillId="0" borderId="26" xfId="0" applyNumberFormat="1" applyBorder="1"/>
    <xf numFmtId="164" fontId="0" fillId="0" borderId="13" xfId="0" applyNumberFormat="1" applyBorder="1"/>
    <xf numFmtId="164" fontId="0" fillId="0" borderId="18" xfId="0" applyNumberFormat="1" applyBorder="1"/>
    <xf numFmtId="164" fontId="0" fillId="0" borderId="18" xfId="0" applyNumberFormat="1" applyFill="1" applyBorder="1"/>
    <xf numFmtId="164" fontId="0" fillId="0" borderId="4" xfId="1" applyNumberFormat="1" applyFont="1" applyBorder="1"/>
    <xf numFmtId="164" fontId="0" fillId="0" borderId="4" xfId="0" applyNumberFormat="1" applyFill="1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4" xfId="0" applyBorder="1"/>
    <xf numFmtId="164" fontId="0" fillId="0" borderId="29" xfId="0" applyNumberFormat="1" applyBorder="1"/>
    <xf numFmtId="0" fontId="0" fillId="0" borderId="30" xfId="0" applyBorder="1"/>
    <xf numFmtId="0" fontId="0" fillId="0" borderId="31" xfId="0" applyBorder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Price per panel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Sheet1!$E$3:$E$22</c:f>
              <c:numCache>
                <c:formatCode>_-[$€-2]\ * #,##0.00_-;\-[$€-2]\ * #,##0.00_-;_-[$€-2]\ * "-"??_-;_-@_-</c:formatCode>
                <c:ptCount val="20"/>
                <c:pt idx="0">
                  <c:v>18.510000000000002</c:v>
                </c:pt>
                <c:pt idx="1">
                  <c:v>12.01</c:v>
                </c:pt>
                <c:pt idx="2">
                  <c:v>9.8433333333333337</c:v>
                </c:pt>
                <c:pt idx="3">
                  <c:v>8.4124999999999996</c:v>
                </c:pt>
                <c:pt idx="4">
                  <c:v>7.74</c:v>
                </c:pt>
                <c:pt idx="5">
                  <c:v>7.291666666666667</c:v>
                </c:pt>
                <c:pt idx="6">
                  <c:v>6.97</c:v>
                </c:pt>
                <c:pt idx="7">
                  <c:v>6.73</c:v>
                </c:pt>
                <c:pt idx="8">
                  <c:v>6.5422222222222226</c:v>
                </c:pt>
                <c:pt idx="9">
                  <c:v>6.3929999999999998</c:v>
                </c:pt>
                <c:pt idx="10">
                  <c:v>6.2709090909090914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5.8881249999999996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2-4D31-88A3-B9A8D8E8F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396783"/>
        <c:axId val="581395951"/>
      </c:lineChart>
      <c:catAx>
        <c:axId val="581396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81395951"/>
        <c:crosses val="autoZero"/>
        <c:auto val="1"/>
        <c:lblAlgn val="ctr"/>
        <c:lblOffset val="100"/>
        <c:noMultiLvlLbl val="0"/>
      </c:catAx>
      <c:valAx>
        <c:axId val="5813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8139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3</xdr:row>
      <xdr:rowOff>157162</xdr:rowOff>
    </xdr:from>
    <xdr:to>
      <xdr:col>17</xdr:col>
      <xdr:colOff>266700</xdr:colOff>
      <xdr:row>18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B4FBB-D7BB-4F09-8D2F-5F3E327E6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nl/-/en/dp/B078S8BJ8T/ref=sr_1_10?crid=307EDQCWEG5PO&amp;keywords=nano&amp;qid=1655463811&amp;sprefix=nano%2Caps%2C71&amp;sr=8-10" TargetMode="External"/><Relationship Id="rId2" Type="http://schemas.openxmlformats.org/officeDocument/2006/relationships/hyperlink" Target="https://www.tinytronics.nl/shop/en/development-boards/microcontroller-boards/with-wi-fi/dfrobot-firebeetle-2-esp32-e-iot-microcontroller-wi-fi-and-bluetooth-seperate-headers" TargetMode="External"/><Relationship Id="rId1" Type="http://schemas.openxmlformats.org/officeDocument/2006/relationships/hyperlink" Target="https://nl.aliexpress.com/item/32682015405.html?spm=a2g0o.placeorder.0.0.455828c96ZmmtO&amp;mp=1&amp;gatewayAdapt=glo2nl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097C-4970-44DD-AD04-3BBC06565FCE}">
  <dimension ref="A2:U50"/>
  <sheetViews>
    <sheetView tabSelected="1" topLeftCell="A13" zoomScaleNormal="100" workbookViewId="0">
      <selection activeCell="H22" sqref="H22"/>
    </sheetView>
  </sheetViews>
  <sheetFormatPr defaultRowHeight="15" x14ac:dyDescent="0.25"/>
  <cols>
    <col min="1" max="1" width="19.5703125" bestFit="1" customWidth="1"/>
    <col min="2" max="2" width="11" bestFit="1" customWidth="1"/>
    <col min="3" max="3" width="15" bestFit="1" customWidth="1"/>
    <col min="4" max="4" width="18" bestFit="1" customWidth="1"/>
    <col min="5" max="5" width="19.5703125" bestFit="1" customWidth="1"/>
    <col min="6" max="6" width="14.140625" bestFit="1" customWidth="1"/>
    <col min="7" max="7" width="6.5703125" bestFit="1" customWidth="1"/>
    <col min="8" max="8" width="14.140625" bestFit="1" customWidth="1"/>
    <col min="9" max="9" width="5.42578125" bestFit="1" customWidth="1"/>
    <col min="10" max="10" width="9" bestFit="1" customWidth="1"/>
    <col min="11" max="11" width="8.85546875" bestFit="1" customWidth="1"/>
    <col min="12" max="12" width="11.28515625" bestFit="1" customWidth="1"/>
    <col min="13" max="13" width="8.7109375" bestFit="1" customWidth="1"/>
    <col min="14" max="14" width="8.42578125" bestFit="1" customWidth="1"/>
    <col min="15" max="15" width="12.28515625" bestFit="1" customWidth="1"/>
    <col min="16" max="16" width="14" bestFit="1" customWidth="1"/>
    <col min="17" max="17" width="11.85546875" bestFit="1" customWidth="1"/>
    <col min="18" max="18" width="8.7109375" bestFit="1" customWidth="1"/>
    <col min="19" max="19" width="8.42578125" bestFit="1" customWidth="1"/>
    <col min="20" max="20" width="14" bestFit="1" customWidth="1"/>
  </cols>
  <sheetData>
    <row r="2" spans="2:21" x14ac:dyDescent="0.25">
      <c r="B2" s="17" t="s">
        <v>0</v>
      </c>
      <c r="C2" s="17"/>
      <c r="D2" s="17" t="s">
        <v>38</v>
      </c>
      <c r="E2" s="17" t="s">
        <v>39</v>
      </c>
      <c r="F2" s="17"/>
      <c r="G2" s="17"/>
      <c r="K2" s="7"/>
      <c r="L2" s="7"/>
      <c r="M2" s="7"/>
      <c r="N2" s="7"/>
      <c r="O2" s="7"/>
      <c r="P2" s="7"/>
      <c r="Q2" s="7"/>
      <c r="R2" s="7"/>
      <c r="U2" s="6"/>
    </row>
    <row r="3" spans="2:21" x14ac:dyDescent="0.25">
      <c r="B3" s="17">
        <v>1</v>
      </c>
      <c r="C3" s="17"/>
      <c r="D3" s="18">
        <v>18.510000000000002</v>
      </c>
      <c r="E3" s="18">
        <f>D3/B3</f>
        <v>18.510000000000002</v>
      </c>
      <c r="F3" s="20"/>
      <c r="G3" s="19"/>
      <c r="K3" s="7"/>
      <c r="L3" s="12"/>
      <c r="M3" s="7"/>
      <c r="N3" s="12"/>
      <c r="O3" s="7"/>
      <c r="P3" s="12"/>
      <c r="Q3" s="7"/>
      <c r="R3" s="12"/>
      <c r="U3" s="6"/>
    </row>
    <row r="4" spans="2:21" x14ac:dyDescent="0.25">
      <c r="B4" s="17">
        <v>2</v>
      </c>
      <c r="C4" s="17"/>
      <c r="D4" s="18">
        <v>24.02</v>
      </c>
      <c r="E4" s="18">
        <f>D4/B4</f>
        <v>12.01</v>
      </c>
      <c r="F4" s="20"/>
      <c r="G4" s="19"/>
      <c r="K4" s="7"/>
      <c r="L4" s="11"/>
      <c r="M4" s="7"/>
      <c r="N4" s="11"/>
      <c r="O4" s="7"/>
      <c r="P4" s="11"/>
      <c r="Q4" s="7"/>
      <c r="R4" s="11"/>
    </row>
    <row r="5" spans="2:21" x14ac:dyDescent="0.25">
      <c r="B5" s="17">
        <v>3</v>
      </c>
      <c r="C5" s="17"/>
      <c r="D5" s="18">
        <v>29.53</v>
      </c>
      <c r="E5" s="18">
        <f>D5/B5</f>
        <v>9.8433333333333337</v>
      </c>
      <c r="F5" s="20"/>
      <c r="G5" s="19"/>
      <c r="K5" s="7"/>
      <c r="L5" s="11"/>
      <c r="M5" s="7"/>
      <c r="N5" s="11"/>
      <c r="O5" s="7"/>
      <c r="P5" s="11"/>
      <c r="Q5" s="7"/>
      <c r="R5" s="11"/>
    </row>
    <row r="6" spans="2:21" x14ac:dyDescent="0.25">
      <c r="B6" s="17">
        <v>4</v>
      </c>
      <c r="C6" s="17"/>
      <c r="D6" s="18">
        <v>33.65</v>
      </c>
      <c r="E6" s="18">
        <f>D6/B6</f>
        <v>8.4124999999999996</v>
      </c>
      <c r="F6" s="20"/>
      <c r="G6" s="19"/>
      <c r="K6" s="7"/>
      <c r="L6" s="11"/>
      <c r="M6" s="7"/>
      <c r="N6" s="11"/>
      <c r="O6" s="7"/>
      <c r="P6" s="11"/>
      <c r="Q6" s="7"/>
      <c r="R6" s="11"/>
    </row>
    <row r="7" spans="2:21" x14ac:dyDescent="0.25">
      <c r="B7" s="17">
        <v>5</v>
      </c>
      <c r="C7" s="17"/>
      <c r="D7" s="18">
        <v>38.700000000000003</v>
      </c>
      <c r="E7" s="18">
        <f>D7/B7</f>
        <v>7.74</v>
      </c>
      <c r="F7" s="20"/>
      <c r="G7" s="19"/>
      <c r="K7" s="7"/>
      <c r="L7" s="11"/>
      <c r="M7" s="7"/>
      <c r="N7" s="11"/>
      <c r="O7" s="7"/>
      <c r="P7" s="11"/>
      <c r="Q7" s="7"/>
      <c r="R7" s="11"/>
    </row>
    <row r="8" spans="2:21" x14ac:dyDescent="0.25">
      <c r="B8" s="17">
        <v>6</v>
      </c>
      <c r="C8" s="17"/>
      <c r="D8" s="18">
        <v>43.75</v>
      </c>
      <c r="E8" s="18">
        <f>D8/B8</f>
        <v>7.291666666666667</v>
      </c>
      <c r="F8" s="20"/>
      <c r="G8" s="19"/>
      <c r="K8" s="7"/>
      <c r="L8" s="11"/>
      <c r="M8" s="7"/>
      <c r="N8" s="11"/>
      <c r="O8" s="7"/>
      <c r="P8" s="11"/>
      <c r="Q8" s="7"/>
      <c r="R8" s="11"/>
    </row>
    <row r="9" spans="2:21" x14ac:dyDescent="0.25">
      <c r="B9" s="17">
        <v>7</v>
      </c>
      <c r="D9" s="18">
        <v>48.79</v>
      </c>
      <c r="E9" s="18">
        <f>D9/B9</f>
        <v>6.97</v>
      </c>
      <c r="F9" s="20"/>
      <c r="G9" s="19"/>
      <c r="K9" s="7"/>
      <c r="L9" s="11"/>
      <c r="M9" s="7"/>
      <c r="N9" s="11"/>
      <c r="O9" s="7"/>
      <c r="P9" s="11"/>
      <c r="Q9" s="7"/>
      <c r="R9" s="11"/>
      <c r="S9" s="7"/>
      <c r="T9" s="7"/>
    </row>
    <row r="10" spans="2:21" x14ac:dyDescent="0.25">
      <c r="B10" s="17">
        <v>8</v>
      </c>
      <c r="D10" s="18">
        <v>53.84</v>
      </c>
      <c r="E10" s="18">
        <f>D10/B10</f>
        <v>6.73</v>
      </c>
      <c r="F10" s="20"/>
      <c r="G10" s="19"/>
      <c r="K10" s="7"/>
      <c r="L10" s="7"/>
      <c r="M10" s="7"/>
      <c r="N10" s="7"/>
      <c r="O10" s="7"/>
      <c r="P10" s="7"/>
      <c r="Q10" s="7"/>
      <c r="R10" s="7"/>
      <c r="S10" s="7"/>
      <c r="T10" s="12"/>
    </row>
    <row r="11" spans="2:21" x14ac:dyDescent="0.25">
      <c r="B11" s="17">
        <v>9</v>
      </c>
      <c r="D11" s="18">
        <v>58.88</v>
      </c>
      <c r="E11" s="18">
        <f>D11/B11</f>
        <v>6.5422222222222226</v>
      </c>
      <c r="F11" s="20"/>
      <c r="G11" s="19"/>
      <c r="K11" s="7"/>
      <c r="L11" s="7"/>
      <c r="M11" s="7"/>
      <c r="N11" s="7"/>
      <c r="O11" s="7"/>
      <c r="P11" s="7"/>
      <c r="Q11" s="7"/>
      <c r="R11" s="7"/>
      <c r="S11" s="7"/>
      <c r="T11" s="11"/>
    </row>
    <row r="12" spans="2:21" x14ac:dyDescent="0.25">
      <c r="B12" s="17">
        <v>10</v>
      </c>
      <c r="D12" s="18">
        <v>63.93</v>
      </c>
      <c r="E12" s="18">
        <f>D12/B12</f>
        <v>6.3929999999999998</v>
      </c>
      <c r="F12" s="20"/>
      <c r="G12" s="19"/>
      <c r="K12" s="7"/>
      <c r="L12" s="11"/>
      <c r="M12" s="7"/>
      <c r="N12" s="11"/>
      <c r="O12" s="7"/>
      <c r="P12" s="11"/>
      <c r="Q12" s="7"/>
      <c r="R12" s="11"/>
      <c r="S12" s="7"/>
      <c r="T12" s="11"/>
    </row>
    <row r="13" spans="2:21" x14ac:dyDescent="0.25">
      <c r="B13" s="17">
        <v>11</v>
      </c>
      <c r="D13" s="18">
        <v>68.98</v>
      </c>
      <c r="E13" s="18">
        <f>D13/B13</f>
        <v>6.2709090909090914</v>
      </c>
      <c r="S13" s="7"/>
      <c r="T13" s="11"/>
    </row>
    <row r="14" spans="2:21" x14ac:dyDescent="0.25">
      <c r="B14" s="17">
        <v>12</v>
      </c>
      <c r="D14" s="18"/>
      <c r="E14" s="18">
        <f>D14/B14</f>
        <v>0</v>
      </c>
      <c r="F14" s="20"/>
      <c r="G14" s="19"/>
      <c r="Q14" s="7"/>
      <c r="R14" s="11"/>
    </row>
    <row r="15" spans="2:21" x14ac:dyDescent="0.25">
      <c r="B15" s="17">
        <v>13</v>
      </c>
      <c r="C15" s="17"/>
      <c r="D15" s="17"/>
      <c r="E15" s="18">
        <f>D15/B15</f>
        <v>0</v>
      </c>
      <c r="F15" s="17"/>
      <c r="H15" s="17"/>
      <c r="I15" s="17"/>
      <c r="Q15" s="7"/>
      <c r="R15" s="11"/>
    </row>
    <row r="16" spans="2:21" x14ac:dyDescent="0.25">
      <c r="B16" s="17">
        <v>14</v>
      </c>
      <c r="C16" s="17"/>
      <c r="D16" s="18"/>
      <c r="E16" s="18">
        <f>D16/B16</f>
        <v>0</v>
      </c>
      <c r="H16" s="20"/>
      <c r="I16" s="19"/>
      <c r="Q16" s="7"/>
      <c r="R16" s="11"/>
    </row>
    <row r="17" spans="1:18" x14ac:dyDescent="0.25">
      <c r="B17" s="17">
        <v>15</v>
      </c>
      <c r="C17" s="17"/>
      <c r="D17" s="18"/>
      <c r="E17" s="18">
        <f>D17/B17</f>
        <v>0</v>
      </c>
      <c r="H17" s="20"/>
      <c r="I17" s="19"/>
      <c r="Q17" s="7"/>
      <c r="R17" s="7"/>
    </row>
    <row r="18" spans="1:18" x14ac:dyDescent="0.25">
      <c r="B18" s="17">
        <v>16</v>
      </c>
      <c r="C18" s="17"/>
      <c r="D18" s="18">
        <v>94.21</v>
      </c>
      <c r="E18" s="18">
        <f>D18/B18</f>
        <v>5.8881249999999996</v>
      </c>
      <c r="H18" s="20"/>
      <c r="I18" s="19"/>
      <c r="Q18" s="7"/>
      <c r="R18" s="7"/>
    </row>
    <row r="19" spans="1:18" x14ac:dyDescent="0.25">
      <c r="B19" s="17">
        <v>17</v>
      </c>
      <c r="C19" s="17"/>
      <c r="D19" s="18"/>
      <c r="E19" s="18">
        <f>D19/B19</f>
        <v>0</v>
      </c>
      <c r="H19" s="20"/>
      <c r="I19" s="19"/>
      <c r="Q19" s="7"/>
      <c r="R19" s="11"/>
    </row>
    <row r="20" spans="1:18" x14ac:dyDescent="0.25">
      <c r="B20" s="17">
        <v>18</v>
      </c>
      <c r="C20" s="17"/>
      <c r="D20" s="18"/>
      <c r="E20" s="18">
        <f>D20/B20</f>
        <v>0</v>
      </c>
      <c r="H20" s="20"/>
      <c r="I20" s="19"/>
    </row>
    <row r="21" spans="1:18" x14ac:dyDescent="0.25">
      <c r="B21" s="17">
        <v>19</v>
      </c>
      <c r="C21" s="17"/>
      <c r="D21" s="18"/>
      <c r="E21" s="18">
        <f>D21/B21</f>
        <v>0</v>
      </c>
      <c r="H21" s="20"/>
      <c r="I21" s="19"/>
    </row>
    <row r="22" spans="1:18" x14ac:dyDescent="0.25">
      <c r="B22" s="17">
        <v>20</v>
      </c>
      <c r="D22" s="18"/>
      <c r="E22" s="18">
        <f>D22/B22</f>
        <v>0</v>
      </c>
      <c r="H22" s="20"/>
      <c r="I22" s="19"/>
    </row>
    <row r="23" spans="1:18" x14ac:dyDescent="0.25">
      <c r="B23" s="17"/>
      <c r="D23" s="18"/>
      <c r="E23" s="18"/>
      <c r="H23" s="20"/>
      <c r="I23" s="19"/>
    </row>
    <row r="24" spans="1:18" x14ac:dyDescent="0.25">
      <c r="B24" s="17"/>
      <c r="D24" s="18"/>
      <c r="E24" s="18"/>
      <c r="H24" s="20"/>
      <c r="I24" s="19"/>
    </row>
    <row r="25" spans="1:18" x14ac:dyDescent="0.25">
      <c r="B25" s="17"/>
      <c r="D25" s="18"/>
      <c r="E25" s="18"/>
      <c r="H25" s="20"/>
      <c r="I25" s="19"/>
    </row>
    <row r="27" spans="1:18" x14ac:dyDescent="0.25">
      <c r="A27" s="22" t="s">
        <v>4</v>
      </c>
      <c r="B27" s="17">
        <v>16</v>
      </c>
    </row>
    <row r="28" spans="1:18" x14ac:dyDescent="0.25">
      <c r="A28" t="s">
        <v>23</v>
      </c>
      <c r="B28" s="17">
        <v>15</v>
      </c>
      <c r="Q28" s="10"/>
    </row>
    <row r="29" spans="1:18" x14ac:dyDescent="0.25">
      <c r="A29" t="s">
        <v>3</v>
      </c>
      <c r="B29" s="17" t="s">
        <v>24</v>
      </c>
      <c r="D29" t="s">
        <v>22</v>
      </c>
      <c r="Q29" s="10"/>
    </row>
    <row r="30" spans="1:18" x14ac:dyDescent="0.25">
      <c r="A30" t="s">
        <v>21</v>
      </c>
      <c r="B30" t="b">
        <v>0</v>
      </c>
      <c r="Q30" s="10"/>
    </row>
    <row r="31" spans="1:18" x14ac:dyDescent="0.25">
      <c r="A31" t="s">
        <v>37</v>
      </c>
      <c r="B31" s="6">
        <f>D42+D50</f>
        <v>94.2072</v>
      </c>
      <c r="O31" t="s">
        <v>1</v>
      </c>
    </row>
    <row r="32" spans="1:18" ht="15.75" thickBot="1" x14ac:dyDescent="0.3">
      <c r="A32" t="s">
        <v>5</v>
      </c>
      <c r="B32" s="6">
        <f>B31*3</f>
        <v>282.6216</v>
      </c>
    </row>
    <row r="33" spans="1:21" x14ac:dyDescent="0.25">
      <c r="A33" t="s">
        <v>2</v>
      </c>
      <c r="B33" s="6">
        <f>25*B27</f>
        <v>400</v>
      </c>
      <c r="L33" s="32" t="s">
        <v>28</v>
      </c>
      <c r="M33" s="27" t="s">
        <v>29</v>
      </c>
      <c r="N33" s="27" t="s">
        <v>17</v>
      </c>
      <c r="O33" s="28" t="s">
        <v>25</v>
      </c>
      <c r="P33" s="7"/>
      <c r="Q33" s="32" t="s">
        <v>30</v>
      </c>
      <c r="R33" s="27" t="s">
        <v>29</v>
      </c>
      <c r="S33" s="33" t="s">
        <v>17</v>
      </c>
      <c r="T33" s="39" t="s">
        <v>34</v>
      </c>
    </row>
    <row r="34" spans="1:21" ht="15.75" thickBot="1" x14ac:dyDescent="0.3">
      <c r="L34" s="29" t="s">
        <v>14</v>
      </c>
      <c r="M34" s="1">
        <v>150</v>
      </c>
      <c r="N34" s="25">
        <v>11.79</v>
      </c>
      <c r="O34" s="26">
        <f>N34+0</f>
        <v>11.79</v>
      </c>
      <c r="P34" s="7"/>
      <c r="Q34" s="29" t="s">
        <v>14</v>
      </c>
      <c r="R34" s="1">
        <v>17</v>
      </c>
      <c r="S34" s="34">
        <f>(O34/M34)*R34</f>
        <v>1.3361999999999998</v>
      </c>
      <c r="T34" t="s">
        <v>33</v>
      </c>
      <c r="U34" s="24" t="s">
        <v>27</v>
      </c>
    </row>
    <row r="35" spans="1:21" ht="15.75" thickBot="1" x14ac:dyDescent="0.3">
      <c r="A35" s="21" t="s">
        <v>8</v>
      </c>
      <c r="B35" s="48" t="s">
        <v>9</v>
      </c>
      <c r="C35" s="49" t="s">
        <v>26</v>
      </c>
      <c r="D35" s="50" t="s">
        <v>20</v>
      </c>
      <c r="L35" s="30" t="s">
        <v>16</v>
      </c>
      <c r="M35" s="2"/>
      <c r="N35" s="11"/>
      <c r="O35" s="4"/>
      <c r="P35" s="7"/>
      <c r="Q35" s="30" t="s">
        <v>16</v>
      </c>
      <c r="R35" s="2"/>
      <c r="S35" s="35">
        <v>0.05</v>
      </c>
      <c r="T35" t="s">
        <v>33</v>
      </c>
    </row>
    <row r="36" spans="1:21" x14ac:dyDescent="0.25">
      <c r="A36" s="38" t="s">
        <v>10</v>
      </c>
      <c r="B36" s="4">
        <v>0.97</v>
      </c>
      <c r="C36" s="43">
        <f>B36*2</f>
        <v>1.94</v>
      </c>
      <c r="D36" s="40">
        <f>C36*B27</f>
        <v>31.04</v>
      </c>
      <c r="F36" s="9"/>
      <c r="G36" s="9"/>
      <c r="I36" s="6"/>
      <c r="L36" s="30" t="s">
        <v>31</v>
      </c>
      <c r="M36" s="2"/>
      <c r="N36" s="11"/>
      <c r="O36" s="4"/>
      <c r="P36" s="7"/>
      <c r="Q36" s="30" t="s">
        <v>31</v>
      </c>
      <c r="R36" s="2"/>
      <c r="S36" s="35"/>
    </row>
    <row r="37" spans="1:21" x14ac:dyDescent="0.25">
      <c r="A37" s="38" t="s">
        <v>11</v>
      </c>
      <c r="B37" s="45">
        <v>0.63</v>
      </c>
      <c r="C37" s="43">
        <f>B37*2</f>
        <v>1.26</v>
      </c>
      <c r="D37" s="40">
        <f>C37*B27</f>
        <v>20.16</v>
      </c>
      <c r="L37" s="30" t="s">
        <v>18</v>
      </c>
      <c r="M37" s="2"/>
      <c r="N37" s="11"/>
      <c r="O37" s="4"/>
      <c r="P37" s="7"/>
      <c r="Q37" s="30" t="s">
        <v>18</v>
      </c>
      <c r="R37" s="2"/>
      <c r="S37" s="35">
        <v>4.6100000000000003</v>
      </c>
    </row>
    <row r="38" spans="1:21" x14ac:dyDescent="0.25">
      <c r="A38" s="38" t="s">
        <v>3</v>
      </c>
      <c r="B38" s="4">
        <f>IF(B29="ARDUINO",0.51,IF(B29="ESP",999.99,"ERROR"))</f>
        <v>0.51</v>
      </c>
      <c r="C38" s="43">
        <f>B38*2</f>
        <v>1.02</v>
      </c>
      <c r="D38" s="40">
        <f>C38</f>
        <v>1.02</v>
      </c>
      <c r="L38" s="30" t="s">
        <v>6</v>
      </c>
      <c r="M38" s="2">
        <v>1</v>
      </c>
      <c r="N38" s="11">
        <v>9.5</v>
      </c>
      <c r="O38" s="4">
        <f>N38+2.5</f>
        <v>12</v>
      </c>
      <c r="Q38" s="30" t="s">
        <v>6</v>
      </c>
      <c r="R38" s="2">
        <v>1</v>
      </c>
      <c r="S38" s="35">
        <f>(O38/M38)*R38</f>
        <v>12</v>
      </c>
      <c r="U38" s="24" t="s">
        <v>35</v>
      </c>
    </row>
    <row r="39" spans="1:21" ht="15.75" thickBot="1" x14ac:dyDescent="0.3">
      <c r="A39" s="38" t="s">
        <v>12</v>
      </c>
      <c r="B39" s="4">
        <f>IF(B29="ARDUINO",0.45,IF(B29="ESP",0.95,"ERROR"))</f>
        <v>0.45</v>
      </c>
      <c r="C39" s="43">
        <f>B39*2</f>
        <v>0.9</v>
      </c>
      <c r="D39" s="40">
        <f>C39</f>
        <v>0.9</v>
      </c>
      <c r="L39" s="31" t="s">
        <v>32</v>
      </c>
      <c r="M39" s="3">
        <v>5</v>
      </c>
      <c r="N39" s="8">
        <v>36.99</v>
      </c>
      <c r="O39" s="5">
        <f>N39+0</f>
        <v>36.99</v>
      </c>
      <c r="P39" s="7"/>
      <c r="Q39" s="31" t="s">
        <v>32</v>
      </c>
      <c r="R39" s="3">
        <v>1</v>
      </c>
      <c r="S39" s="36">
        <f>(O39/M39)*R39</f>
        <v>7.3980000000000006</v>
      </c>
      <c r="U39" s="24" t="s">
        <v>36</v>
      </c>
    </row>
    <row r="40" spans="1:21" x14ac:dyDescent="0.25">
      <c r="A40" s="38" t="s">
        <v>7</v>
      </c>
      <c r="B40" s="46">
        <v>0.23</v>
      </c>
      <c r="C40" s="43">
        <f>B40*2</f>
        <v>0.46</v>
      </c>
      <c r="D40" s="40">
        <f>C40*B28</f>
        <v>6.9</v>
      </c>
    </row>
    <row r="41" spans="1:21" ht="15.75" thickBot="1" x14ac:dyDescent="0.3">
      <c r="A41" s="47" t="s">
        <v>21</v>
      </c>
      <c r="B41" s="15">
        <f>IF(B30=TRUE,0.27,0)</f>
        <v>0</v>
      </c>
      <c r="C41" s="51">
        <f>B41*2</f>
        <v>0</v>
      </c>
      <c r="D41" s="41">
        <f>C41*B27</f>
        <v>0</v>
      </c>
    </row>
    <row r="42" spans="1:21" ht="15.75" thickBot="1" x14ac:dyDescent="0.3">
      <c r="A42" s="7"/>
      <c r="B42" s="11"/>
      <c r="C42" s="11"/>
      <c r="D42" s="36">
        <f>SUM(D36:D41)</f>
        <v>60.02</v>
      </c>
    </row>
    <row r="43" spans="1:21" ht="15.75" thickBot="1" x14ac:dyDescent="0.3"/>
    <row r="44" spans="1:21" ht="15.75" thickBot="1" x14ac:dyDescent="0.3">
      <c r="A44" s="21" t="s">
        <v>13</v>
      </c>
      <c r="B44" s="52" t="s">
        <v>17</v>
      </c>
      <c r="C44" s="49"/>
      <c r="D44" s="53" t="s">
        <v>20</v>
      </c>
    </row>
    <row r="45" spans="1:21" x14ac:dyDescent="0.25">
      <c r="A45" s="38" t="s">
        <v>15</v>
      </c>
      <c r="B45" s="11">
        <f>S34</f>
        <v>1.3361999999999998</v>
      </c>
      <c r="C45" s="44"/>
      <c r="D45" s="13">
        <f>B45*B27</f>
        <v>21.379199999999997</v>
      </c>
    </row>
    <row r="46" spans="1:21" x14ac:dyDescent="0.25">
      <c r="A46" s="38" t="s">
        <v>16</v>
      </c>
      <c r="B46" s="11">
        <f>S35</f>
        <v>0.05</v>
      </c>
      <c r="C46" s="44"/>
      <c r="D46" s="13">
        <f>B46*B27</f>
        <v>0.8</v>
      </c>
      <c r="Q46" s="6"/>
      <c r="R46" s="6"/>
      <c r="S46" s="37"/>
    </row>
    <row r="47" spans="1:21" x14ac:dyDescent="0.25">
      <c r="A47" s="38" t="s">
        <v>19</v>
      </c>
      <c r="B47" s="23">
        <f>S36</f>
        <v>0</v>
      </c>
      <c r="C47" s="44"/>
      <c r="D47" s="13">
        <f>B47</f>
        <v>0</v>
      </c>
    </row>
    <row r="48" spans="1:21" x14ac:dyDescent="0.25">
      <c r="A48" s="38" t="s">
        <v>18</v>
      </c>
      <c r="B48" s="11">
        <f>S37</f>
        <v>4.6100000000000003</v>
      </c>
      <c r="C48" s="44"/>
      <c r="D48" s="13">
        <f>B48</f>
        <v>4.6100000000000003</v>
      </c>
    </row>
    <row r="49" spans="1:4" ht="15.75" thickBot="1" x14ac:dyDescent="0.3">
      <c r="A49" s="47" t="s">
        <v>3</v>
      </c>
      <c r="B49" s="14">
        <f>IF(B29="ARDUINO",S39,IF(B29="ESP",S38,"ERROR"))</f>
        <v>7.3980000000000006</v>
      </c>
      <c r="C49" s="51"/>
      <c r="D49" s="16">
        <f>B49</f>
        <v>7.3980000000000006</v>
      </c>
    </row>
    <row r="50" spans="1:4" ht="15.75" thickBot="1" x14ac:dyDescent="0.3">
      <c r="D50" s="42">
        <f>SUM(D45:D49)</f>
        <v>34.187199999999997</v>
      </c>
    </row>
  </sheetData>
  <hyperlinks>
    <hyperlink ref="U34" r:id="rId1" xr:uid="{7CDF11DE-6EA1-44FC-BD43-E0C9E79A90DE}"/>
    <hyperlink ref="U38" r:id="rId2" xr:uid="{F49E75E9-9B63-4E0B-BB15-83A4E6660E7D}"/>
    <hyperlink ref="U39" r:id="rId3" xr:uid="{F66E0FCF-E1C4-4215-9764-2C95F0FB5777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Blommaert</dc:creator>
  <cp:lastModifiedBy>Ask Blommaert</cp:lastModifiedBy>
  <dcterms:created xsi:type="dcterms:W3CDTF">2021-06-27T11:57:31Z</dcterms:created>
  <dcterms:modified xsi:type="dcterms:W3CDTF">2022-06-17T11:46:19Z</dcterms:modified>
</cp:coreProperties>
</file>