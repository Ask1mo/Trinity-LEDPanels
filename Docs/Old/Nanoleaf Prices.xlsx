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bl\Desktop\School\GitHub\t-db2-vj2021-askblommaert\4 - Persoonlijke Opdrachten\Nanoleaf Replica\Documents\"/>
    </mc:Choice>
  </mc:AlternateContent>
  <xr:revisionPtr revIDLastSave="0" documentId="13_ncr:1_{9F6A69F6-70C2-4843-97D2-FED317779307}" xr6:coauthVersionLast="47" xr6:coauthVersionMax="47" xr10:uidLastSave="{00000000-0000-0000-0000-000000000000}"/>
  <bookViews>
    <workbookView xWindow="-120" yWindow="-120" windowWidth="29040" windowHeight="15840" xr2:uid="{FDF8ABBF-54E2-45BC-B2DC-50CC81E9E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0" i="1"/>
  <c r="F9" i="1"/>
  <c r="F8" i="1"/>
  <c r="F7" i="1"/>
  <c r="F6" i="1"/>
  <c r="F5" i="1"/>
  <c r="F4" i="1"/>
  <c r="F3" i="1"/>
  <c r="G3" i="1" s="1"/>
  <c r="E4" i="1"/>
  <c r="L3" i="1"/>
  <c r="L9" i="1" s="1"/>
  <c r="L12" i="1" s="1"/>
  <c r="E3" i="1"/>
  <c r="J9" i="1"/>
  <c r="J12" i="1" s="1"/>
  <c r="P9" i="1"/>
  <c r="P12" i="1" s="1"/>
  <c r="P8" i="1"/>
  <c r="P7" i="1"/>
  <c r="P6" i="1"/>
  <c r="P5" i="1"/>
  <c r="P4" i="1"/>
  <c r="N9" i="1"/>
  <c r="N12" i="1" s="1"/>
  <c r="N8" i="1"/>
  <c r="N7" i="1"/>
  <c r="N6" i="1"/>
  <c r="N5" i="1"/>
  <c r="N4" i="1"/>
  <c r="J8" i="1"/>
  <c r="J7" i="1"/>
  <c r="J6" i="1"/>
  <c r="J5" i="1"/>
  <c r="J4" i="1"/>
  <c r="S2" i="1" l="1"/>
  <c r="S3" i="1" s="1"/>
  <c r="L4" i="1"/>
  <c r="L5" i="1"/>
  <c r="L6" i="1"/>
  <c r="L7" i="1"/>
  <c r="G4" i="1"/>
  <c r="G5" i="1" l="1"/>
  <c r="E12" i="1"/>
  <c r="G12" i="1"/>
  <c r="E5" i="1"/>
  <c r="E6" i="1" l="1"/>
  <c r="G6" i="1"/>
  <c r="E7" i="1" l="1"/>
  <c r="G7" i="1"/>
  <c r="E8" i="1" l="1"/>
  <c r="G8" i="1"/>
  <c r="E9" i="1" l="1"/>
  <c r="G9" i="1"/>
  <c r="E10" i="1" l="1"/>
  <c r="G10" i="1"/>
  <c r="E11" i="1" l="1"/>
  <c r="G11" i="1"/>
</calcChain>
</file>

<file path=xl/sharedStrings.xml><?xml version="1.0" encoding="utf-8"?>
<sst xmlns="http://schemas.openxmlformats.org/spreadsheetml/2006/main" count="24" uniqueCount="14">
  <si>
    <t>Leds</t>
  </si>
  <si>
    <t>Leaf</t>
  </si>
  <si>
    <t>Nano</t>
  </si>
  <si>
    <t>$</t>
  </si>
  <si>
    <t>Adapter</t>
  </si>
  <si>
    <t>Ship</t>
  </si>
  <si>
    <t>Total</t>
  </si>
  <si>
    <t>Price List</t>
  </si>
  <si>
    <t xml:space="preserve"> </t>
  </si>
  <si>
    <t>Selling Price</t>
  </si>
  <si>
    <t>Trinity Price</t>
  </si>
  <si>
    <t>Nanoleaf Price</t>
  </si>
  <si>
    <t>Worth</t>
  </si>
  <si>
    <t>Hardware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</si>
</sst>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€-2]\ * #,##0.00_-;\-[$€-2]\ * #,##0.00_-;_-[$€-2]\ * &quot;-&quot;??_-;_-@_-"/>
    <numFmt numFmtId="165" formatCode="_-[$€-2]\ * #,##0_-;\-[$€-2]\ * #,##0_-;_-[$€-2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4" fontId="0" fillId="0" borderId="6" xfId="0" applyNumberFormat="1" applyBorder="1"/>
    <xf numFmtId="164" fontId="0" fillId="0" borderId="2" xfId="1" applyNumberFormat="1" applyFont="1" applyBorder="1"/>
    <xf numFmtId="164" fontId="0" fillId="0" borderId="0" xfId="0" applyNumberFormat="1"/>
    <xf numFmtId="0" fontId="0" fillId="0" borderId="7" xfId="0" applyBorder="1"/>
    <xf numFmtId="0" fontId="0" fillId="0" borderId="0" xfId="0" applyBorder="1"/>
    <xf numFmtId="164" fontId="0" fillId="0" borderId="8" xfId="0" applyNumberFormat="1" applyBorder="1"/>
    <xf numFmtId="164" fontId="0" fillId="0" borderId="0" xfId="2" applyNumberFormat="1" applyFont="1"/>
    <xf numFmtId="2" fontId="0" fillId="0" borderId="0" xfId="0" applyNumberFormat="1"/>
    <xf numFmtId="164" fontId="0" fillId="0" borderId="7" xfId="1" applyNumberFormat="1" applyFont="1" applyBorder="1"/>
    <xf numFmtId="164" fontId="0" fillId="0" borderId="0" xfId="0" applyNumberFormat="1" applyBorder="1"/>
    <xf numFmtId="164" fontId="0" fillId="0" borderId="0" xfId="1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4" xfId="1" applyNumberFormat="1" applyFont="1" applyBorder="1"/>
    <xf numFmtId="0" fontId="0" fillId="0" borderId="15" xfId="0" applyBorder="1"/>
    <xf numFmtId="164" fontId="0" fillId="0" borderId="16" xfId="0" applyNumberFormat="1" applyBorder="1"/>
    <xf numFmtId="0" fontId="0" fillId="0" borderId="17" xfId="0" applyBorder="1"/>
    <xf numFmtId="164" fontId="0" fillId="0" borderId="18" xfId="0" applyNumberFormat="1" applyBorder="1"/>
    <xf numFmtId="0" fontId="0" fillId="0" borderId="14" xfId="0" applyBorder="1"/>
    <xf numFmtId="0" fontId="0" fillId="0" borderId="16" xfId="0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164" fontId="0" fillId="0" borderId="22" xfId="0" applyNumberFormat="1" applyBorder="1"/>
    <xf numFmtId="164" fontId="0" fillId="0" borderId="23" xfId="0" applyNumberFormat="1" applyBorder="1"/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9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4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Sheet1!$G$3:$G$15</c:f>
              <c:numCache>
                <c:formatCode>0%</c:formatCode>
                <c:ptCount val="13"/>
                <c:pt idx="0">
                  <c:v>0.59960000000000002</c:v>
                </c:pt>
                <c:pt idx="1">
                  <c:v>0.33979999999999999</c:v>
                </c:pt>
                <c:pt idx="2">
                  <c:v>0.26653333333333329</c:v>
                </c:pt>
                <c:pt idx="3">
                  <c:v>0.24489999999999998</c:v>
                </c:pt>
                <c:pt idx="4">
                  <c:v>0.21326666666666666</c:v>
                </c:pt>
                <c:pt idx="5">
                  <c:v>0.19995000000000002</c:v>
                </c:pt>
                <c:pt idx="6">
                  <c:v>0.1932888888888889</c:v>
                </c:pt>
                <c:pt idx="7">
                  <c:v>0.18996000000000002</c:v>
                </c:pt>
                <c:pt idx="8">
                  <c:v>0.18330000000000002</c:v>
                </c:pt>
                <c:pt idx="9">
                  <c:v>0.17497499999999999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2-4D31-88A3-B9A8D8E8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396783"/>
        <c:axId val="581395951"/>
      </c:lineChart>
      <c:catAx>
        <c:axId val="58139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81395951"/>
        <c:crosses val="autoZero"/>
        <c:auto val="1"/>
        <c:lblAlgn val="ctr"/>
        <c:lblOffset val="100"/>
        <c:noMultiLvlLbl val="0"/>
      </c:catAx>
      <c:valAx>
        <c:axId val="5813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8139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15</xdr:row>
      <xdr:rowOff>166687</xdr:rowOff>
    </xdr:from>
    <xdr:to>
      <xdr:col>15</xdr:col>
      <xdr:colOff>276225</xdr:colOff>
      <xdr:row>30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B4FBB-D7BB-4F09-8D2F-5F3E327E6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097C-4970-44DD-AD04-3BBC06565FCE}">
  <dimension ref="B1:S36"/>
  <sheetViews>
    <sheetView tabSelected="1" zoomScaleNormal="100" workbookViewId="0">
      <selection activeCell="J8" sqref="J8"/>
    </sheetView>
  </sheetViews>
  <sheetFormatPr defaultRowHeight="15" x14ac:dyDescent="0.25"/>
  <cols>
    <col min="2" max="2" width="8.85546875" bestFit="1" customWidth="1"/>
    <col min="3" max="3" width="10.140625" customWidth="1"/>
    <col min="4" max="4" width="11.85546875" bestFit="1" customWidth="1"/>
    <col min="5" max="5" width="11.5703125" bestFit="1" customWidth="1"/>
    <col min="6" max="6" width="14.140625" bestFit="1" customWidth="1"/>
    <col min="7" max="7" width="8.140625" bestFit="1" customWidth="1"/>
    <col min="8" max="8" width="14.140625" bestFit="1" customWidth="1"/>
    <col min="9" max="9" width="5.42578125" bestFit="1" customWidth="1"/>
    <col min="10" max="10" width="9" bestFit="1" customWidth="1"/>
    <col min="11" max="11" width="5.7109375" bestFit="1" customWidth="1"/>
    <col min="12" max="12" width="9" bestFit="1" customWidth="1"/>
    <col min="13" max="13" width="8.140625" bestFit="1" customWidth="1"/>
    <col min="14" max="14" width="9" bestFit="1" customWidth="1"/>
    <col min="15" max="15" width="8.140625" bestFit="1" customWidth="1"/>
    <col min="16" max="16" width="14" bestFit="1" customWidth="1"/>
    <col min="17" max="17" width="9.5703125" bestFit="1" customWidth="1"/>
    <col min="19" max="19" width="10.140625" bestFit="1" customWidth="1"/>
  </cols>
  <sheetData>
    <row r="1" spans="2:19" ht="15.75" thickBot="1" x14ac:dyDescent="0.3"/>
    <row r="2" spans="2:19" x14ac:dyDescent="0.25">
      <c r="B2" s="35" t="s">
        <v>7</v>
      </c>
      <c r="C2" s="35"/>
      <c r="D2" s="35" t="s">
        <v>9</v>
      </c>
      <c r="E2" s="35" t="s">
        <v>10</v>
      </c>
      <c r="F2" s="35" t="s">
        <v>11</v>
      </c>
      <c r="G2" s="35" t="s">
        <v>12</v>
      </c>
      <c r="I2" s="18" t="s">
        <v>1</v>
      </c>
      <c r="J2" s="39" t="s">
        <v>3</v>
      </c>
      <c r="K2" s="18" t="s">
        <v>0</v>
      </c>
      <c r="L2" s="39" t="s">
        <v>3</v>
      </c>
      <c r="M2" s="20" t="s">
        <v>2</v>
      </c>
      <c r="N2" s="19" t="s">
        <v>3</v>
      </c>
      <c r="O2" s="20" t="s">
        <v>4</v>
      </c>
      <c r="P2" s="21" t="s">
        <v>3</v>
      </c>
      <c r="R2" t="s">
        <v>13</v>
      </c>
      <c r="S2" s="9">
        <f>SUM(J12,L12,N12,P12)</f>
        <v>20.569066666666664</v>
      </c>
    </row>
    <row r="3" spans="2:19" x14ac:dyDescent="0.25">
      <c r="B3" s="35">
        <v>1</v>
      </c>
      <c r="C3" s="35"/>
      <c r="D3" s="36">
        <v>14.99</v>
      </c>
      <c r="E3" s="36">
        <f t="shared" ref="E3:E12" si="0">D3/B3</f>
        <v>14.99</v>
      </c>
      <c r="F3" s="38">
        <f t="shared" ref="F3:F12" si="1">100/4*B3</f>
        <v>25</v>
      </c>
      <c r="G3" s="37">
        <f t="shared" ref="G3:G12" si="2">D3/F3</f>
        <v>0.59960000000000002</v>
      </c>
      <c r="I3" s="22">
        <v>1</v>
      </c>
      <c r="J3" s="15">
        <v>2</v>
      </c>
      <c r="K3" s="22">
        <v>1</v>
      </c>
      <c r="L3" s="15">
        <f>(L8*K3/K8)*17</f>
        <v>1.2772666666666666</v>
      </c>
      <c r="M3" s="1">
        <v>1</v>
      </c>
      <c r="N3" s="8">
        <v>3.8</v>
      </c>
      <c r="O3" s="1">
        <v>1</v>
      </c>
      <c r="P3" s="23">
        <v>4.6100000000000003</v>
      </c>
      <c r="R3" t="s">
        <v>9</v>
      </c>
      <c r="S3" s="9">
        <f>S2*1.25</f>
        <v>25.711333333333329</v>
      </c>
    </row>
    <row r="4" spans="2:19" x14ac:dyDescent="0.25">
      <c r="B4" s="35">
        <v>2</v>
      </c>
      <c r="C4" s="35"/>
      <c r="D4" s="36">
        <v>16.989999999999998</v>
      </c>
      <c r="E4" s="36">
        <f t="shared" si="0"/>
        <v>8.4949999999999992</v>
      </c>
      <c r="F4" s="38">
        <f t="shared" si="1"/>
        <v>50</v>
      </c>
      <c r="G4" s="37">
        <f t="shared" si="2"/>
        <v>0.33979999999999999</v>
      </c>
      <c r="I4" s="24">
        <v>0</v>
      </c>
      <c r="J4" s="16">
        <f>J3*I4</f>
        <v>0</v>
      </c>
      <c r="K4" s="24">
        <v>0</v>
      </c>
      <c r="L4" s="16">
        <f>L3*K4</f>
        <v>0</v>
      </c>
      <c r="M4" s="3">
        <v>0</v>
      </c>
      <c r="N4" s="6">
        <f>N3*M4</f>
        <v>0</v>
      </c>
      <c r="O4" s="3">
        <v>0</v>
      </c>
      <c r="P4" s="25">
        <f>P3*O4</f>
        <v>0</v>
      </c>
    </row>
    <row r="5" spans="2:19" x14ac:dyDescent="0.25">
      <c r="B5" s="35">
        <v>3</v>
      </c>
      <c r="C5" s="35"/>
      <c r="D5" s="36">
        <v>19.989999999999998</v>
      </c>
      <c r="E5" s="36">
        <f t="shared" si="0"/>
        <v>6.6633333333333331</v>
      </c>
      <c r="F5" s="38">
        <f t="shared" si="1"/>
        <v>75</v>
      </c>
      <c r="G5" s="37">
        <f t="shared" si="2"/>
        <v>0.26653333333333329</v>
      </c>
      <c r="I5" s="24">
        <v>0</v>
      </c>
      <c r="J5" s="16">
        <f>J3*I5</f>
        <v>0</v>
      </c>
      <c r="K5" s="24">
        <v>0</v>
      </c>
      <c r="L5" s="16">
        <f>L3*K5</f>
        <v>0</v>
      </c>
      <c r="M5" s="3">
        <v>0</v>
      </c>
      <c r="N5" s="6">
        <f>N3*M5</f>
        <v>0</v>
      </c>
      <c r="O5" s="3">
        <v>0</v>
      </c>
      <c r="P5" s="25">
        <f>P3*O5</f>
        <v>0</v>
      </c>
    </row>
    <row r="6" spans="2:19" x14ac:dyDescent="0.25">
      <c r="B6" s="35">
        <v>4</v>
      </c>
      <c r="C6" s="35"/>
      <c r="D6" s="36">
        <v>24.49</v>
      </c>
      <c r="E6" s="36">
        <f t="shared" si="0"/>
        <v>6.1224999999999996</v>
      </c>
      <c r="F6" s="38">
        <f t="shared" si="1"/>
        <v>100</v>
      </c>
      <c r="G6" s="37">
        <f t="shared" si="2"/>
        <v>0.24489999999999998</v>
      </c>
      <c r="I6" s="24">
        <v>0</v>
      </c>
      <c r="J6" s="16">
        <f>J3*I6</f>
        <v>0</v>
      </c>
      <c r="K6" s="24">
        <v>0</v>
      </c>
      <c r="L6" s="16">
        <f>L3*K6</f>
        <v>0</v>
      </c>
      <c r="M6" s="3">
        <v>0</v>
      </c>
      <c r="N6" s="6">
        <f>N3*M6</f>
        <v>0</v>
      </c>
      <c r="O6" s="3">
        <v>0</v>
      </c>
      <c r="P6" s="25">
        <f>P3*O6</f>
        <v>0</v>
      </c>
    </row>
    <row r="7" spans="2:19" x14ac:dyDescent="0.25">
      <c r="B7" s="35">
        <v>6</v>
      </c>
      <c r="C7" s="35"/>
      <c r="D7" s="36">
        <v>31.99</v>
      </c>
      <c r="E7" s="36">
        <f t="shared" si="0"/>
        <v>5.3316666666666661</v>
      </c>
      <c r="F7" s="38">
        <f t="shared" si="1"/>
        <v>150</v>
      </c>
      <c r="G7" s="37">
        <f t="shared" si="2"/>
        <v>0.21326666666666666</v>
      </c>
      <c r="I7" s="24">
        <v>0</v>
      </c>
      <c r="J7" s="16">
        <f>J3*I7</f>
        <v>0</v>
      </c>
      <c r="K7" s="24">
        <v>0</v>
      </c>
      <c r="L7" s="16">
        <f>L3*K7</f>
        <v>0</v>
      </c>
      <c r="M7" s="3">
        <v>0</v>
      </c>
      <c r="N7" s="6">
        <f>N3*M7</f>
        <v>0</v>
      </c>
      <c r="O7" s="3">
        <v>0</v>
      </c>
      <c r="P7" s="25">
        <f>P3*O7</f>
        <v>0</v>
      </c>
    </row>
    <row r="8" spans="2:19" x14ac:dyDescent="0.25">
      <c r="B8" s="35">
        <v>8</v>
      </c>
      <c r="C8" s="35"/>
      <c r="D8" s="36">
        <v>39.99</v>
      </c>
      <c r="E8" s="36">
        <f t="shared" si="0"/>
        <v>4.9987500000000002</v>
      </c>
      <c r="F8" s="38">
        <f t="shared" si="1"/>
        <v>200</v>
      </c>
      <c r="G8" s="37">
        <f t="shared" si="2"/>
        <v>0.19995000000000002</v>
      </c>
      <c r="I8" s="26">
        <v>0</v>
      </c>
      <c r="J8" s="12">
        <f>J3*I8</f>
        <v>0</v>
      </c>
      <c r="K8" s="26">
        <v>150</v>
      </c>
      <c r="L8" s="12">
        <v>11.27</v>
      </c>
      <c r="M8" s="5">
        <v>0</v>
      </c>
      <c r="N8" s="7">
        <f>N3*M8</f>
        <v>0</v>
      </c>
      <c r="O8" s="5">
        <v>0</v>
      </c>
      <c r="P8" s="27">
        <f>P3*O8</f>
        <v>0</v>
      </c>
    </row>
    <row r="9" spans="2:19" x14ac:dyDescent="0.25">
      <c r="B9" s="35">
        <v>9</v>
      </c>
      <c r="D9" s="36">
        <v>43.49</v>
      </c>
      <c r="E9" s="36">
        <f t="shared" si="0"/>
        <v>4.8322222222222226</v>
      </c>
      <c r="F9" s="38">
        <f t="shared" si="1"/>
        <v>225</v>
      </c>
      <c r="G9" s="37">
        <f t="shared" si="2"/>
        <v>0.1932888888888889</v>
      </c>
      <c r="I9" s="26">
        <v>4</v>
      </c>
      <c r="J9" s="12">
        <f>J3*I9</f>
        <v>8</v>
      </c>
      <c r="K9" s="26">
        <v>4</v>
      </c>
      <c r="L9" s="12">
        <f>L3*K9</f>
        <v>5.1090666666666662</v>
      </c>
      <c r="M9" s="5">
        <v>1</v>
      </c>
      <c r="N9" s="7">
        <f>N3*M9</f>
        <v>3.8</v>
      </c>
      <c r="O9" s="5">
        <v>0</v>
      </c>
      <c r="P9" s="27">
        <f>P3*O9</f>
        <v>0</v>
      </c>
      <c r="Q9" s="11"/>
      <c r="R9" s="11"/>
    </row>
    <row r="10" spans="2:19" x14ac:dyDescent="0.25">
      <c r="B10" s="35">
        <v>10</v>
      </c>
      <c r="D10" s="36">
        <v>47.49</v>
      </c>
      <c r="E10" s="36">
        <f t="shared" si="0"/>
        <v>4.7490000000000006</v>
      </c>
      <c r="F10" s="38">
        <f t="shared" si="1"/>
        <v>250</v>
      </c>
      <c r="G10" s="37">
        <f t="shared" si="2"/>
        <v>0.18996000000000002</v>
      </c>
      <c r="I10" s="22"/>
      <c r="J10" s="10"/>
      <c r="K10" s="22"/>
      <c r="L10" s="10"/>
      <c r="M10" s="1"/>
      <c r="N10" s="2"/>
      <c r="O10" s="1"/>
      <c r="P10" s="28"/>
      <c r="Q10" s="11"/>
      <c r="R10" s="17"/>
    </row>
    <row r="11" spans="2:19" x14ac:dyDescent="0.25">
      <c r="B11" s="35">
        <v>12</v>
      </c>
      <c r="D11" s="36">
        <v>54.99</v>
      </c>
      <c r="E11" s="36">
        <f t="shared" si="0"/>
        <v>4.5825000000000005</v>
      </c>
      <c r="F11" s="38">
        <f>100/4*B11</f>
        <v>300</v>
      </c>
      <c r="G11" s="37">
        <f t="shared" si="2"/>
        <v>0.18330000000000002</v>
      </c>
      <c r="I11" s="24" t="s">
        <v>5</v>
      </c>
      <c r="J11" s="11">
        <v>0</v>
      </c>
      <c r="K11" s="24" t="s">
        <v>5</v>
      </c>
      <c r="L11" s="11">
        <v>0</v>
      </c>
      <c r="M11" s="3" t="s">
        <v>5</v>
      </c>
      <c r="N11" s="4">
        <v>2.4900000000000002</v>
      </c>
      <c r="O11" s="3" t="s">
        <v>5</v>
      </c>
      <c r="P11" s="29">
        <v>1.17</v>
      </c>
      <c r="Q11" s="11"/>
      <c r="R11" s="16"/>
    </row>
    <row r="12" spans="2:19" ht="15.75" thickBot="1" x14ac:dyDescent="0.3">
      <c r="B12" s="35">
        <v>16</v>
      </c>
      <c r="D12" s="36">
        <v>69.989999999999995</v>
      </c>
      <c r="E12" s="36">
        <f t="shared" si="0"/>
        <v>4.3743749999999997</v>
      </c>
      <c r="F12" s="38">
        <f t="shared" si="1"/>
        <v>400</v>
      </c>
      <c r="G12" s="37">
        <f t="shared" si="2"/>
        <v>0.17497499999999999</v>
      </c>
      <c r="I12" s="30" t="s">
        <v>6</v>
      </c>
      <c r="J12" s="31">
        <f>J9+J11</f>
        <v>8</v>
      </c>
      <c r="K12" s="30" t="s">
        <v>6</v>
      </c>
      <c r="L12" s="31">
        <f>L9+L11</f>
        <v>5.1090666666666662</v>
      </c>
      <c r="M12" s="32" t="s">
        <v>6</v>
      </c>
      <c r="N12" s="33">
        <f>N9+N11</f>
        <v>6.29</v>
      </c>
      <c r="O12" s="32" t="s">
        <v>6</v>
      </c>
      <c r="P12" s="34">
        <f>P9+P11</f>
        <v>1.17</v>
      </c>
      <c r="Q12" s="11"/>
      <c r="R12" s="16"/>
    </row>
    <row r="13" spans="2:19" x14ac:dyDescent="0.25">
      <c r="Q13" s="11"/>
      <c r="R13" s="16"/>
    </row>
    <row r="14" spans="2:19" x14ac:dyDescent="0.25">
      <c r="B14" s="35"/>
      <c r="D14" s="36"/>
      <c r="E14" s="36"/>
      <c r="F14" s="38"/>
      <c r="G14" s="37"/>
      <c r="Q14" s="11"/>
      <c r="R14" s="16"/>
    </row>
    <row r="15" spans="2:19" x14ac:dyDescent="0.25">
      <c r="B15" s="35"/>
      <c r="D15" s="36"/>
      <c r="E15" s="36"/>
      <c r="F15" s="38"/>
      <c r="G15" s="37"/>
      <c r="Q15" s="11"/>
      <c r="R15" s="16"/>
    </row>
    <row r="16" spans="2:19" x14ac:dyDescent="0.25">
      <c r="B16" s="35"/>
      <c r="D16" s="36"/>
      <c r="E16" s="36"/>
      <c r="F16" s="38"/>
      <c r="G16" s="37"/>
      <c r="Q16" s="11"/>
      <c r="R16" s="16"/>
    </row>
    <row r="17" spans="2:18" x14ac:dyDescent="0.25">
      <c r="B17" s="35"/>
      <c r="D17" s="36"/>
      <c r="E17" s="36"/>
      <c r="F17" s="38"/>
      <c r="G17" s="37"/>
      <c r="Q17" s="11"/>
      <c r="R17" s="11"/>
    </row>
    <row r="18" spans="2:18" x14ac:dyDescent="0.25">
      <c r="B18" s="35"/>
      <c r="D18" s="36"/>
      <c r="E18" s="36"/>
      <c r="F18" s="38"/>
      <c r="G18" s="37"/>
      <c r="Q18" s="11"/>
      <c r="R18" s="11"/>
    </row>
    <row r="19" spans="2:18" x14ac:dyDescent="0.25">
      <c r="B19" s="35"/>
      <c r="D19" s="36"/>
      <c r="E19" s="36"/>
      <c r="F19" s="38"/>
      <c r="G19" s="37"/>
      <c r="Q19" s="11"/>
      <c r="R19" s="16"/>
    </row>
    <row r="20" spans="2:18" x14ac:dyDescent="0.25">
      <c r="B20" s="35"/>
      <c r="D20" s="36"/>
      <c r="E20" s="36"/>
      <c r="F20" s="38"/>
      <c r="G20" s="37"/>
    </row>
    <row r="21" spans="2:18" x14ac:dyDescent="0.25">
      <c r="B21" s="35"/>
      <c r="D21" s="36"/>
      <c r="E21" s="36"/>
      <c r="F21" s="38"/>
      <c r="G21" s="37"/>
    </row>
    <row r="22" spans="2:18" x14ac:dyDescent="0.25">
      <c r="B22" s="35"/>
      <c r="D22" s="36"/>
      <c r="E22" s="36"/>
      <c r="F22" s="38"/>
      <c r="G22" s="37"/>
    </row>
    <row r="23" spans="2:18" x14ac:dyDescent="0.25">
      <c r="B23" s="35"/>
      <c r="D23" s="36"/>
      <c r="E23" s="36"/>
      <c r="F23" s="38"/>
      <c r="G23" s="37"/>
    </row>
    <row r="28" spans="2:18" x14ac:dyDescent="0.25">
      <c r="Q28" s="14"/>
    </row>
    <row r="29" spans="2:18" x14ac:dyDescent="0.25">
      <c r="Q29" s="14"/>
    </row>
    <row r="30" spans="2:18" x14ac:dyDescent="0.25">
      <c r="Q30" s="14"/>
    </row>
    <row r="31" spans="2:18" x14ac:dyDescent="0.25">
      <c r="O31" t="s">
        <v>8</v>
      </c>
    </row>
    <row r="36" spans="6:9" x14ac:dyDescent="0.25">
      <c r="F36" s="13"/>
      <c r="G36" s="13"/>
      <c r="I3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2021-06-27T11:57:31Z</dcterms:created>
  <dcterms:modified xsi:type="dcterms:W3CDTF">2021-08-31T13:29:20Z</dcterms:modified>
</cp:coreProperties>
</file>